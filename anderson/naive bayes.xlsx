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nderson/Downloads/"/>
    </mc:Choice>
  </mc:AlternateContent>
  <xr:revisionPtr revIDLastSave="0" documentId="13_ncr:1_{87E5F53F-2A56-C747-B35E-E3E076100D95}" xr6:coauthVersionLast="47" xr6:coauthVersionMax="47" xr10:uidLastSave="{00000000-0000-0000-0000-000000000000}"/>
  <bookViews>
    <workbookView xWindow="0" yWindow="600" windowWidth="23300" windowHeight="15020" tabRatio="500" xr2:uid="{00000000-000D-0000-FFFF-FFFF00000000}"/>
  </bookViews>
  <sheets>
    <sheet name="Naive Bayes Gaussiano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5" i="1" l="1"/>
  <c r="D19" i="1"/>
  <c r="C20" i="1"/>
  <c r="C24" i="1"/>
  <c r="E20" i="1"/>
  <c r="D20" i="1"/>
  <c r="E19" i="1"/>
  <c r="C19" i="1"/>
  <c r="C25" i="1" l="1"/>
  <c r="B36" i="1"/>
  <c r="C28" i="1"/>
  <c r="C32" i="1" s="1"/>
  <c r="C33" i="1" l="1"/>
</calcChain>
</file>

<file path=xl/sharedStrings.xml><?xml version="1.0" encoding="utf-8"?>
<sst xmlns="http://schemas.openxmlformats.org/spreadsheetml/2006/main" count="37" uniqueCount="35">
  <si>
    <t>CLASIFICADOR NAIVE BAYES CON DISTRIBUCIÓN GAUSSIANA</t>
  </si>
  <si>
    <t>Determinar si la muestra es Hombre o Mujer</t>
  </si>
  <si>
    <t>PARÁMETROS POR CLASE (Datos de entrenamiento)</t>
  </si>
  <si>
    <t>Sexo</t>
  </si>
  <si>
    <t>Media (Altura)</t>
  </si>
  <si>
    <t>Varianza (Altura)</t>
  </si>
  <si>
    <t>Media (Peso)</t>
  </si>
  <si>
    <t>Varianza (Peso)</t>
  </si>
  <si>
    <t>Media (Pie)</t>
  </si>
  <si>
    <t>Varianza (Pie)</t>
  </si>
  <si>
    <t>Hombre</t>
  </si>
  <si>
    <t>Mujer</t>
  </si>
  <si>
    <t>MUESTRA A CLASIFICAR</t>
  </si>
  <si>
    <t>Altura (pies)</t>
  </si>
  <si>
    <t>Peso (lbs)</t>
  </si>
  <si>
    <t>Número de pie (inches)</t>
  </si>
  <si>
    <t>Muestra</t>
  </si>
  <si>
    <t>PROBABILIDADES PRIOR P(H) y P(M)</t>
  </si>
  <si>
    <t>P(Hombre)</t>
  </si>
  <si>
    <t>P(Mujer)</t>
  </si>
  <si>
    <t>VEROSIMILITUDES GAUSSIANAS: P(x|clase) = (1/(σ√(2π))) * exp(-(x-μ)²/(2σ²))</t>
  </si>
  <si>
    <t>P(Altura|Clase)</t>
  </si>
  <si>
    <t>P(Peso|Clase)</t>
  </si>
  <si>
    <t>P(Pie|Clase)</t>
  </si>
  <si>
    <t>POSTERIOR (Numerador de Bayes): P(Clase) × P(Altura|Clase) × P(Peso|Clase) × P(Pie|Clase)</t>
  </si>
  <si>
    <t>Numerador Bayes</t>
  </si>
  <si>
    <t>Posterior Hombre</t>
  </si>
  <si>
    <t>Posterior Mujer</t>
  </si>
  <si>
    <t>EVIDENCIA: P(E) = P(E|H)·P(H) + P(E|M)·P(M)</t>
  </si>
  <si>
    <t>P(E)</t>
  </si>
  <si>
    <t>PROBABILIDADES POSTERIORES NORMALIZADAS</t>
  </si>
  <si>
    <t>Probabilidad</t>
  </si>
  <si>
    <t>P(Hombre|E)</t>
  </si>
  <si>
    <t>P(Mujer|E)</t>
  </si>
  <si>
    <t>CLASIFICACIÓN FINAL: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</si>
</sst>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"/>
    <numFmt numFmtId="165" formatCode="0.000000000000"/>
    <numFmt numFmtId="166" formatCode="0.00000000000000"/>
    <numFmt numFmtId="167" formatCode="0.0000%"/>
  </numFmts>
  <fonts count="8" x14ac:knownFonts="1">
    <font>
      <sz val="11"/>
      <color theme="1"/>
      <name val="Calibri"/>
      <family val="2"/>
      <charset val="1"/>
    </font>
    <font>
      <b/>
      <sz val="14"/>
      <color rgb="FF8B0000"/>
      <name val="Arial"/>
      <family val="2"/>
    </font>
    <font>
      <i/>
      <sz val="11"/>
      <color rgb="FF555555"/>
      <name val="Arial"/>
      <family val="2"/>
    </font>
    <font>
      <b/>
      <sz val="12"/>
      <color rgb="FF4472C4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b/>
      <sz val="14"/>
      <color rgb="FF008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DAEEF3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AEEF3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7" fillId="6" borderId="2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/>
    <xf numFmtId="2" fontId="6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5" fillId="4" borderId="1" xfId="0" applyFont="1" applyFill="1" applyBorder="1"/>
    <xf numFmtId="166" fontId="0" fillId="4" borderId="1" xfId="0" applyNumberFormat="1" applyFill="1" applyBorder="1" applyAlignment="1">
      <alignment horizontal="center" vertical="center"/>
    </xf>
    <xf numFmtId="0" fontId="5" fillId="5" borderId="1" xfId="0" applyFont="1" applyFill="1" applyBorder="1"/>
    <xf numFmtId="167" fontId="0" fillId="5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AEE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6"/>
  <sheetViews>
    <sheetView tabSelected="1" topLeftCell="A11" zoomScaleNormal="100" workbookViewId="0">
      <selection activeCell="B36" sqref="B36:F36"/>
    </sheetView>
  </sheetViews>
  <sheetFormatPr baseColWidth="10" defaultColWidth="8.6640625" defaultRowHeight="15" x14ac:dyDescent="0.2"/>
  <cols>
    <col min="1" max="1" width="4" customWidth="1"/>
    <col min="2" max="2" width="22" customWidth="1"/>
    <col min="3" max="8" width="18" customWidth="1"/>
  </cols>
  <sheetData>
    <row r="1" spans="2:8" ht="18" x14ac:dyDescent="0.2">
      <c r="B1" s="5" t="s">
        <v>0</v>
      </c>
      <c r="C1" s="5"/>
      <c r="D1" s="5"/>
      <c r="E1" s="5"/>
      <c r="F1" s="5"/>
      <c r="G1" s="5"/>
      <c r="H1" s="5"/>
    </row>
    <row r="2" spans="2:8" x14ac:dyDescent="0.2">
      <c r="B2" s="4" t="s">
        <v>1</v>
      </c>
      <c r="C2" s="4"/>
      <c r="D2" s="4"/>
      <c r="E2" s="4"/>
      <c r="F2" s="4"/>
      <c r="G2" s="4"/>
      <c r="H2" s="4"/>
    </row>
    <row r="4" spans="2:8" ht="16" x14ac:dyDescent="0.2">
      <c r="B4" s="6" t="s">
        <v>2</v>
      </c>
    </row>
    <row r="5" spans="2:8" x14ac:dyDescent="0.2"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</row>
    <row r="6" spans="2:8" x14ac:dyDescent="0.2">
      <c r="B6" s="8" t="s">
        <v>10</v>
      </c>
      <c r="C6" s="9">
        <v>5.8550000000000004</v>
      </c>
      <c r="D6" s="9">
        <v>3.5033000000000002E-2</v>
      </c>
      <c r="E6" s="9">
        <v>176.25</v>
      </c>
      <c r="F6" s="9">
        <v>122.92</v>
      </c>
      <c r="G6" s="9">
        <v>11.25</v>
      </c>
      <c r="H6" s="9">
        <v>0.91666999999999998</v>
      </c>
    </row>
    <row r="7" spans="2:8" x14ac:dyDescent="0.2">
      <c r="B7" s="8" t="s">
        <v>11</v>
      </c>
      <c r="C7" s="9">
        <v>5.4175000000000004</v>
      </c>
      <c r="D7" s="9">
        <v>9.7225000000000006E-2</v>
      </c>
      <c r="E7" s="9">
        <v>132.5</v>
      </c>
      <c r="F7" s="9">
        <v>558.33000000000004</v>
      </c>
      <c r="G7" s="9">
        <v>7.5</v>
      </c>
      <c r="H7" s="9">
        <v>1.6667000000000001</v>
      </c>
    </row>
    <row r="9" spans="2:8" ht="16" x14ac:dyDescent="0.2">
      <c r="B9" s="6" t="s">
        <v>12</v>
      </c>
    </row>
    <row r="10" spans="2:8" x14ac:dyDescent="0.2">
      <c r="B10" s="7"/>
      <c r="C10" s="7" t="s">
        <v>13</v>
      </c>
      <c r="D10" s="7" t="s">
        <v>14</v>
      </c>
      <c r="E10" s="7" t="s">
        <v>15</v>
      </c>
    </row>
    <row r="11" spans="2:8" x14ac:dyDescent="0.2">
      <c r="B11" s="8" t="s">
        <v>16</v>
      </c>
      <c r="C11" s="9">
        <v>6</v>
      </c>
      <c r="D11" s="9">
        <v>130</v>
      </c>
      <c r="E11" s="9">
        <v>8</v>
      </c>
    </row>
    <row r="13" spans="2:8" ht="16" x14ac:dyDescent="0.2">
      <c r="B13" s="6" t="s">
        <v>17</v>
      </c>
    </row>
    <row r="14" spans="2:8" x14ac:dyDescent="0.2">
      <c r="B14" s="10" t="s">
        <v>18</v>
      </c>
      <c r="C14" s="11">
        <v>0.5</v>
      </c>
    </row>
    <row r="15" spans="2:8" x14ac:dyDescent="0.2">
      <c r="B15" s="10" t="s">
        <v>19</v>
      </c>
      <c r="C15" s="11">
        <v>0.5</v>
      </c>
    </row>
    <row r="17" spans="2:5" ht="16" x14ac:dyDescent="0.2">
      <c r="B17" s="6" t="s">
        <v>20</v>
      </c>
    </row>
    <row r="18" spans="2:5" x14ac:dyDescent="0.2">
      <c r="B18" s="7"/>
      <c r="C18" s="7" t="s">
        <v>21</v>
      </c>
      <c r="D18" s="7" t="s">
        <v>22</v>
      </c>
      <c r="E18" s="7" t="s">
        <v>23</v>
      </c>
    </row>
    <row r="19" spans="2:5" x14ac:dyDescent="0.2">
      <c r="B19" s="12" t="s">
        <v>10</v>
      </c>
      <c r="C19" s="13">
        <f>(1/SQRT(D6*2*PI()))*EXP(-((C11-C6)^2)/(2*D6))</f>
        <v>1.5788861867228536</v>
      </c>
      <c r="D19" s="14">
        <f>(1/SQRT(F6*2*PI()))*EXP(-((D11-E6)^2)/(2*F6))</f>
        <v>5.9880746313505085E-6</v>
      </c>
      <c r="E19" s="14">
        <f>(1/SQRT(H6*2*PI()))*EXP(-((E11-G6)^2)/(2*H6))</f>
        <v>1.3112461309512104E-3</v>
      </c>
    </row>
    <row r="20" spans="2:5" x14ac:dyDescent="0.2">
      <c r="B20" s="12" t="s">
        <v>11</v>
      </c>
      <c r="C20" s="13">
        <f>(1/SQRT(D7*2*PI()))*EXP(-((C11-C7)^2)/(2*D7))</f>
        <v>0.22345872684481599</v>
      </c>
      <c r="D20" s="14">
        <f>(1/SQRT(F7*2*PI()))*EXP(-((D11-E7)^2)/(2*F7))</f>
        <v>1.6789347446420255E-2</v>
      </c>
      <c r="E20" s="14">
        <f>(1/SQRT(H7*2*PI()))*EXP(-((E11-G7)^2)/(2*H7))</f>
        <v>0.2866882630504945</v>
      </c>
    </row>
    <row r="22" spans="2:5" ht="16" x14ac:dyDescent="0.2">
      <c r="B22" s="6" t="s">
        <v>24</v>
      </c>
    </row>
    <row r="23" spans="2:5" x14ac:dyDescent="0.2">
      <c r="B23" s="7"/>
      <c r="C23" s="7" t="s">
        <v>25</v>
      </c>
    </row>
    <row r="24" spans="2:5" x14ac:dyDescent="0.2">
      <c r="B24" s="15" t="s">
        <v>26</v>
      </c>
      <c r="C24" s="16">
        <f>C14*C19*D19*E19</f>
        <v>6.1985806151927032E-9</v>
      </c>
    </row>
    <row r="25" spans="2:5" x14ac:dyDescent="0.2">
      <c r="B25" s="15" t="s">
        <v>27</v>
      </c>
      <c r="C25" s="16">
        <f>C15*C20*D20*E20</f>
        <v>5.3778793456653697E-4</v>
      </c>
    </row>
    <row r="27" spans="2:5" ht="16" x14ac:dyDescent="0.2">
      <c r="B27" s="6" t="s">
        <v>28</v>
      </c>
    </row>
    <row r="28" spans="2:5" x14ac:dyDescent="0.2">
      <c r="B28" s="10" t="s">
        <v>29</v>
      </c>
      <c r="C28" s="16">
        <f>C24+C25</f>
        <v>5.3779413314715213E-4</v>
      </c>
    </row>
    <row r="30" spans="2:5" ht="16" x14ac:dyDescent="0.2">
      <c r="B30" s="6" t="s">
        <v>30</v>
      </c>
    </row>
    <row r="31" spans="2:5" x14ac:dyDescent="0.2">
      <c r="B31" s="7"/>
      <c r="C31" s="7" t="s">
        <v>31</v>
      </c>
    </row>
    <row r="32" spans="2:5" x14ac:dyDescent="0.2">
      <c r="B32" s="17" t="s">
        <v>32</v>
      </c>
      <c r="C32" s="18">
        <f>C24/C28</f>
        <v>1.1525935731055358E-5</v>
      </c>
    </row>
    <row r="33" spans="2:6" x14ac:dyDescent="0.2">
      <c r="B33" s="17" t="s">
        <v>33</v>
      </c>
      <c r="C33" s="18">
        <f>C25/C28</f>
        <v>0.99998847406426905</v>
      </c>
    </row>
    <row r="35" spans="2:6" ht="18" x14ac:dyDescent="0.2">
      <c r="B35" s="3" t="s">
        <v>34</v>
      </c>
      <c r="C35" s="3"/>
      <c r="D35" s="3"/>
      <c r="E35" s="2" t="str">
        <f>IF(C24&gt;C25,"HOMBRE","MUJER")</f>
        <v>MUJER</v>
      </c>
      <c r="F35" s="2"/>
    </row>
    <row r="36" spans="2:6" x14ac:dyDescent="0.2">
      <c r="B36" s="1" t="str">
        <f>IF(C24&gt;C25,"La muestra se clasifica como HOMBRE porque P(H|E) &gt; P(M|E)","La muestra se clasifica como MUJER porque P(M|E) &gt; P(H|E)")</f>
        <v>La muestra se clasifica como MUJER porque P(M|E) &gt; P(H|E)</v>
      </c>
      <c r="C36" s="1"/>
      <c r="D36" s="1"/>
      <c r="E36" s="1"/>
      <c r="F36" s="1"/>
    </row>
  </sheetData>
  <mergeCells count="5">
    <mergeCell ref="B1:H1"/>
    <mergeCell ref="B2:H2"/>
    <mergeCell ref="B35:D35"/>
    <mergeCell ref="E35:F35"/>
    <mergeCell ref="B36:F3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Naive Bayes Gaussiano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Anderson Smith Florez Fuentes</cp:lastModifiedBy>
  <cp:revision>0</cp:revision>
  <dcterms:created xsi:type="dcterms:W3CDTF">2026-02-17T12:24:33Z</dcterms:created>
  <dcterms:modified xsi:type="dcterms:W3CDTF">2026-02-17T13:41:42Z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2026-02-17T13:41:42Z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d4f847cc-3bb3-4890-8550-475a4cdb89e2</vt:lpwstr>
  </property>
  <property fmtid="{D5CDD505-2E9C-101B-9397-08002B2CF9AE}" pid="8" name="MSIP_Label_f535a957-b352-4c2d-aa57-80f72177303d_ContentBits">
    <vt:lpwstr>0</vt:lpwstr>
  </property>
  <property fmtid="{D5CDD505-2E9C-101B-9397-08002B2CF9AE}" pid="9" name="MSIP_Label_f535a957-b352-4c2d-aa57-80f72177303d_Tag">
    <vt:lpwstr>50, 3, 0, 1</vt:lpwstr>
  </property>
</Properties>
</file>